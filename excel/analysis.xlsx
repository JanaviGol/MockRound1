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-analysis-set-c\excel\"/>
    </mc:Choice>
  </mc:AlternateContent>
  <bookViews>
    <workbookView xWindow="0" yWindow="0" windowWidth="19200" windowHeight="7550" tabRatio="500"/>
  </bookViews>
  <sheets>
    <sheet name="Raw" sheetId="1" r:id="rId1"/>
    <sheet name="Lookup" sheetId="2" r:id="rId2"/>
    <sheet name="Clean" sheetId="3" r:id="rId3"/>
    <sheet name="Summary" sheetId="4" r:id="rId4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4" l="1"/>
  <c r="D15" i="4"/>
  <c r="C15" i="4"/>
  <c r="B15" i="4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B7" i="4" s="1"/>
  <c r="G5" i="3"/>
  <c r="H4" i="3"/>
  <c r="G4" i="3"/>
  <c r="H3" i="3"/>
  <c r="B6" i="4" s="1"/>
  <c r="G3" i="3"/>
  <c r="K2" i="3"/>
  <c r="K3" i="3" s="1"/>
  <c r="H2" i="3"/>
  <c r="B5" i="4" s="1"/>
  <c r="G2" i="3"/>
  <c r="E13" i="4" s="1"/>
  <c r="K1" i="3"/>
  <c r="I1" i="1"/>
  <c r="B8" i="4" l="1"/>
  <c r="E4" i="4" s="1"/>
  <c r="B14" i="4"/>
  <c r="C14" i="4"/>
  <c r="D14" i="4"/>
  <c r="E14" i="4"/>
  <c r="B13" i="4"/>
  <c r="C13" i="4"/>
  <c r="D13" i="4"/>
</calcChain>
</file>

<file path=xl/sharedStrings.xml><?xml version="1.0" encoding="utf-8"?>
<sst xmlns="http://schemas.openxmlformats.org/spreadsheetml/2006/main" count="130" uniqueCount="40">
  <si>
    <t>assessment_id</t>
  </si>
  <si>
    <t>month</t>
  </si>
  <si>
    <t>course_id</t>
  </si>
  <si>
    <t>batch</t>
  </si>
  <si>
    <t>score</t>
  </si>
  <si>
    <t>attendance_pct</t>
  </si>
  <si>
    <t>Raw row count (before cleaning)</t>
  </si>
  <si>
    <t>Jan</t>
  </si>
  <si>
    <t>C1</t>
  </si>
  <si>
    <t>Morning</t>
  </si>
  <si>
    <t>Original 13 rows unchanged. Row 14 (assessment_id 12) is the exact duplicate.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</si>
  <si>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</si>
  <si>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</si>
  <si>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</si>
  <si>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</si>
  <si>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</si>
  <si>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</si>
  <si>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</si>
  <si>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</si>
  <si>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</si>
  <si>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</si>
  <si>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</si>
  <si>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</si>
  <si>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</si>
  <si>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</si>
  <si>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</si>
  <si>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</si>
  <si>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Before row count (Raw)</t>
  </si>
  <si>
    <t>After row count (Clean)</t>
  </si>
  <si>
    <t>Duplicates removed</t>
  </si>
  <si>
    <t>department = INDEX/MATCH on Lookup (course_id); pass_flag = IF(score&gt;=50,1,0)</t>
  </si>
  <si>
    <t>Training Performance - Summary</t>
  </si>
  <si>
    <t>E2: Passing assessments by batch (COUNTIFS on pass_flag = 1)</t>
  </si>
  <si>
    <t>passing_assessments</t>
  </si>
  <si>
    <t>Overall pass rate</t>
  </si>
  <si>
    <t>Total</t>
  </si>
  <si>
    <t>E3: Average score, department x month (live AVERAGEIFS table, same layout as PivotTable)</t>
  </si>
  <si>
    <t>Grand Total</t>
  </si>
  <si>
    <t>Reconciliation: Technology Grand Total (E14) = SQL S2a = Python summary = Power BI card = 56.00</t>
  </si>
  <si>
    <t>REAL PIVOT: Insert &gt; PivotTable on Clean!A1:H13, place at G3 here. Rows=department, Columns=month (order Jan, Feb, Mar), Values=Average of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</si>
</sst>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4"/>
      <name val="Arial"/>
      <charset val="1"/>
    </font>
    <font>
      <i/>
      <sz val="11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0" fontId="3" fillId="0" borderId="0" xfId="0" applyNumberFormat="1" applyFont="1"/>
    <xf numFmtId="0" fontId="2" fillId="0" borderId="1" xfId="0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0" fontId="6" fillId="0" borderId="0" xfId="0" applyFont="1"/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3" borderId="2" xfId="0" applyFont="1" applyFill="1" applyBorder="1"/>
    <xf numFmtId="0" fontId="4" fillId="0" borderId="2" xfId="0" applyFont="1" applyBorder="1"/>
    <xf numFmtId="0" fontId="0" fillId="0" borderId="2" xfId="0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Summary!$B$13:$B$14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A-4BC2-B7F2-2C41088822A6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Summary!$C$13:$C$14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A-4BC2-B7F2-2C41088822A6}"/>
            </c:ext>
          </c:extLst>
        </c:ser>
        <c:ser>
          <c:idx val="2"/>
          <c:order val="2"/>
          <c:tx>
            <c:strRef>
              <c:f>Summary!$D$12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Summary!$D$13:$D$14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A-4BC2-B7F2-2C410888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70359"/>
        <c:axId val="21497175"/>
      </c:barChart>
      <c:catAx>
        <c:axId val="41870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97175"/>
        <c:crosses val="autoZero"/>
        <c:auto val="1"/>
        <c:lblAlgn val="ctr"/>
        <c:lblOffset val="100"/>
        <c:noMultiLvlLbl val="0"/>
      </c:catAx>
      <c:valAx>
        <c:axId val="21497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70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160560</xdr:rowOff>
    </xdr:from>
    <xdr:to>
      <xdr:col>3</xdr:col>
      <xdr:colOff>747720</xdr:colOff>
      <xdr:row>34</xdr:row>
      <xdr:rowOff>172080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workbookViewId="0">
      <selection activeCell="H11" sqref="H11"/>
    </sheetView>
  </sheetViews>
  <sheetFormatPr defaultColWidth="8.6328125" defaultRowHeight="14.5" x14ac:dyDescent="0.35"/>
  <cols>
    <col min="1" max="1" width="14" customWidth="1"/>
    <col min="2" max="2" width="9" customWidth="1"/>
    <col min="3" max="4" width="11" customWidth="1"/>
    <col min="5" max="5" width="9" customWidth="1"/>
    <col min="6" max="6" width="16" customWidth="1"/>
    <col min="8" max="8" width="36" customWidth="1"/>
    <col min="9" max="9" width="10" customWidth="1"/>
  </cols>
  <sheetData>
    <row r="1" spans="1:12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H1" s="17" t="s">
        <v>6</v>
      </c>
      <c r="I1" s="13">
        <f>COUNTA(A2:A14)</f>
        <v>13</v>
      </c>
    </row>
    <row r="2" spans="1:12" x14ac:dyDescent="0.35">
      <c r="A2" s="13">
        <v>1</v>
      </c>
      <c r="B2" s="13" t="s">
        <v>7</v>
      </c>
      <c r="C2" s="13" t="s">
        <v>8</v>
      </c>
      <c r="D2" s="13" t="s">
        <v>9</v>
      </c>
      <c r="E2" s="13">
        <v>72</v>
      </c>
      <c r="F2" s="13">
        <v>90</v>
      </c>
      <c r="H2" s="15" t="s">
        <v>10</v>
      </c>
      <c r="I2" s="16"/>
      <c r="J2" s="16"/>
      <c r="K2" s="16"/>
      <c r="L2" s="16"/>
    </row>
    <row r="3" spans="1:12" x14ac:dyDescent="0.35">
      <c r="A3" s="13">
        <v>2</v>
      </c>
      <c r="B3" s="13" t="s">
        <v>7</v>
      </c>
      <c r="C3" s="13" t="s">
        <v>11</v>
      </c>
      <c r="D3" s="13" t="s">
        <v>12</v>
      </c>
      <c r="E3" s="13">
        <v>45</v>
      </c>
      <c r="F3" s="13">
        <v>70</v>
      </c>
    </row>
    <row r="4" spans="1:12" x14ac:dyDescent="0.35">
      <c r="A4" s="13">
        <v>3</v>
      </c>
      <c r="B4" s="13" t="s">
        <v>7</v>
      </c>
      <c r="C4" s="13" t="s">
        <v>13</v>
      </c>
      <c r="D4" s="13" t="s">
        <v>9</v>
      </c>
      <c r="E4" s="13">
        <v>65</v>
      </c>
      <c r="F4" s="13">
        <v>85</v>
      </c>
    </row>
    <row r="5" spans="1:12" x14ac:dyDescent="0.35">
      <c r="A5" s="13">
        <v>4</v>
      </c>
      <c r="B5" s="13" t="s">
        <v>7</v>
      </c>
      <c r="C5" s="13" t="s">
        <v>14</v>
      </c>
      <c r="D5" s="13" t="s">
        <v>15</v>
      </c>
      <c r="E5" s="13">
        <v>38</v>
      </c>
      <c r="F5" s="13">
        <v>60</v>
      </c>
    </row>
    <row r="6" spans="1:12" x14ac:dyDescent="0.35">
      <c r="A6" s="13">
        <v>5</v>
      </c>
      <c r="B6" s="13" t="s">
        <v>16</v>
      </c>
      <c r="C6" s="13" t="s">
        <v>8</v>
      </c>
      <c r="D6" s="13" t="s">
        <v>12</v>
      </c>
      <c r="E6" s="13">
        <v>80</v>
      </c>
      <c r="F6" s="13">
        <v>95</v>
      </c>
    </row>
    <row r="7" spans="1:12" x14ac:dyDescent="0.35">
      <c r="A7" s="13">
        <v>6</v>
      </c>
      <c r="B7" s="13" t="s">
        <v>16</v>
      </c>
      <c r="C7" s="13" t="s">
        <v>11</v>
      </c>
      <c r="D7" s="13" t="s">
        <v>15</v>
      </c>
      <c r="E7" s="13">
        <v>55</v>
      </c>
      <c r="F7" s="13">
        <v>80</v>
      </c>
    </row>
    <row r="8" spans="1:12" x14ac:dyDescent="0.35">
      <c r="A8" s="13">
        <v>7</v>
      </c>
      <c r="B8" s="13" t="s">
        <v>16</v>
      </c>
      <c r="C8" s="13" t="s">
        <v>13</v>
      </c>
      <c r="D8" s="13" t="s">
        <v>9</v>
      </c>
      <c r="E8" s="13">
        <v>48</v>
      </c>
      <c r="F8" s="13">
        <v>75</v>
      </c>
    </row>
    <row r="9" spans="1:12" x14ac:dyDescent="0.35">
      <c r="A9" s="13">
        <v>8</v>
      </c>
      <c r="B9" s="13" t="s">
        <v>16</v>
      </c>
      <c r="C9" s="13" t="s">
        <v>14</v>
      </c>
      <c r="D9" s="13" t="s">
        <v>12</v>
      </c>
      <c r="E9" s="13">
        <v>68</v>
      </c>
      <c r="F9" s="13">
        <v>88</v>
      </c>
    </row>
    <row r="10" spans="1:12" x14ac:dyDescent="0.35">
      <c r="A10" s="13">
        <v>9</v>
      </c>
      <c r="B10" s="13" t="s">
        <v>17</v>
      </c>
      <c r="C10" s="13" t="s">
        <v>8</v>
      </c>
      <c r="D10" s="13" t="s">
        <v>15</v>
      </c>
      <c r="E10" s="13">
        <v>90</v>
      </c>
      <c r="F10" s="13">
        <v>98</v>
      </c>
    </row>
    <row r="11" spans="1:12" x14ac:dyDescent="0.35">
      <c r="A11" s="13">
        <v>10</v>
      </c>
      <c r="B11" s="13" t="s">
        <v>17</v>
      </c>
      <c r="C11" s="13" t="s">
        <v>11</v>
      </c>
      <c r="D11" s="13" t="s">
        <v>9</v>
      </c>
      <c r="E11" s="13">
        <v>60</v>
      </c>
      <c r="F11" s="13">
        <v>82</v>
      </c>
    </row>
    <row r="12" spans="1:12" x14ac:dyDescent="0.35">
      <c r="A12" s="13">
        <v>11</v>
      </c>
      <c r="B12" s="13" t="s">
        <v>17</v>
      </c>
      <c r="C12" s="13" t="s">
        <v>13</v>
      </c>
      <c r="D12" s="13" t="s">
        <v>12</v>
      </c>
      <c r="E12" s="13">
        <v>75</v>
      </c>
      <c r="F12" s="13">
        <v>92</v>
      </c>
    </row>
    <row r="13" spans="1:12" x14ac:dyDescent="0.35">
      <c r="A13" s="13">
        <v>12</v>
      </c>
      <c r="B13" s="13" t="s">
        <v>17</v>
      </c>
      <c r="C13" s="13" t="s">
        <v>14</v>
      </c>
      <c r="D13" s="13" t="s">
        <v>15</v>
      </c>
      <c r="E13" s="13">
        <v>42</v>
      </c>
      <c r="F13" s="13">
        <v>65</v>
      </c>
    </row>
    <row r="14" spans="1:12" x14ac:dyDescent="0.35">
      <c r="A14" s="14">
        <v>12</v>
      </c>
      <c r="B14" s="13" t="s">
        <v>17</v>
      </c>
      <c r="C14" s="13" t="s">
        <v>14</v>
      </c>
      <c r="D14" s="13" t="s">
        <v>15</v>
      </c>
      <c r="E14" s="13">
        <v>42</v>
      </c>
      <c r="F14" s="13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workbookViewId="0"/>
  </sheetViews>
  <sheetFormatPr defaultColWidth="8.6328125" defaultRowHeight="14.5" x14ac:dyDescent="0.35"/>
  <cols>
    <col min="1" max="1" width="11" customWidth="1"/>
    <col min="2" max="2" width="12" customWidth="1"/>
    <col min="3" max="3" width="14" customWidth="1"/>
  </cols>
  <sheetData>
    <row r="1" spans="1:3" x14ac:dyDescent="0.35">
      <c r="A1" s="1" t="s">
        <v>2</v>
      </c>
      <c r="B1" s="1" t="s">
        <v>18</v>
      </c>
      <c r="C1" s="1" t="s">
        <v>19</v>
      </c>
    </row>
    <row r="2" spans="1:3" x14ac:dyDescent="0.35">
      <c r="A2" s="4" t="s">
        <v>8</v>
      </c>
      <c r="B2" s="4" t="s">
        <v>20</v>
      </c>
      <c r="C2" s="4" t="s">
        <v>21</v>
      </c>
    </row>
    <row r="3" spans="1:3" x14ac:dyDescent="0.35">
      <c r="A3" s="4" t="s">
        <v>11</v>
      </c>
      <c r="B3" s="4" t="s">
        <v>22</v>
      </c>
      <c r="C3" s="4" t="s">
        <v>21</v>
      </c>
    </row>
    <row r="4" spans="1:3" x14ac:dyDescent="0.35">
      <c r="A4" s="4" t="s">
        <v>13</v>
      </c>
      <c r="B4" s="4" t="s">
        <v>23</v>
      </c>
      <c r="C4" s="4" t="s">
        <v>24</v>
      </c>
    </row>
    <row r="5" spans="1:3" x14ac:dyDescent="0.35">
      <c r="A5" s="4" t="s">
        <v>14</v>
      </c>
      <c r="B5" s="4" t="s">
        <v>25</v>
      </c>
      <c r="C5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9" customWidth="1"/>
    <col min="3" max="4" width="11" customWidth="1"/>
    <col min="5" max="5" width="9" customWidth="1"/>
    <col min="6" max="6" width="16" customWidth="1"/>
    <col min="7" max="7" width="13" customWidth="1"/>
    <col min="8" max="8" width="10" customWidth="1"/>
    <col min="10" max="10" width="26" customWidth="1"/>
    <col min="11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26</v>
      </c>
      <c r="J1" s="2" t="s">
        <v>27</v>
      </c>
      <c r="K1" s="3">
        <f>COUNTA(Raw!A2:A14)</f>
        <v>13</v>
      </c>
    </row>
    <row r="2" spans="1:11" x14ac:dyDescent="0.35">
      <c r="A2" s="4">
        <v>1</v>
      </c>
      <c r="B2" s="4" t="s">
        <v>7</v>
      </c>
      <c r="C2" s="4" t="s">
        <v>8</v>
      </c>
      <c r="D2" s="4" t="s">
        <v>9</v>
      </c>
      <c r="E2" s="4">
        <v>72</v>
      </c>
      <c r="F2" s="4">
        <v>90</v>
      </c>
      <c r="G2" s="4" t="str">
        <f>INDEX(Lookup!$C$2:$C$5,MATCH(C2,Lookup!$A$2:$A$5,0))</f>
        <v>Business</v>
      </c>
      <c r="H2" s="4">
        <f t="shared" ref="H2:H13" si="0">IF(E2&gt;=50,1,0)</f>
        <v>1</v>
      </c>
      <c r="J2" s="2" t="s">
        <v>28</v>
      </c>
      <c r="K2" s="3">
        <f>COUNTA(A2:A13)</f>
        <v>12</v>
      </c>
    </row>
    <row r="3" spans="1:11" x14ac:dyDescent="0.35">
      <c r="A3" s="4">
        <v>2</v>
      </c>
      <c r="B3" s="4" t="s">
        <v>7</v>
      </c>
      <c r="C3" s="4" t="s">
        <v>11</v>
      </c>
      <c r="D3" s="4" t="s">
        <v>12</v>
      </c>
      <c r="E3" s="4">
        <v>45</v>
      </c>
      <c r="F3" s="4">
        <v>70</v>
      </c>
      <c r="G3" s="4" t="str">
        <f>INDEX(Lookup!$C$2:$C$5,MATCH(C3,Lookup!$A$2:$A$5,0))</f>
        <v>Business</v>
      </c>
      <c r="H3" s="4">
        <f t="shared" si="0"/>
        <v>0</v>
      </c>
      <c r="J3" s="2" t="s">
        <v>29</v>
      </c>
      <c r="K3" s="3">
        <f>K1-K2</f>
        <v>1</v>
      </c>
    </row>
    <row r="4" spans="1:11" x14ac:dyDescent="0.35">
      <c r="A4" s="4">
        <v>3</v>
      </c>
      <c r="B4" s="4" t="s">
        <v>7</v>
      </c>
      <c r="C4" s="4" t="s">
        <v>13</v>
      </c>
      <c r="D4" s="4" t="s">
        <v>9</v>
      </c>
      <c r="E4" s="4">
        <v>65</v>
      </c>
      <c r="F4" s="4">
        <v>85</v>
      </c>
      <c r="G4" s="4" t="str">
        <f>INDEX(Lookup!$C$2:$C$5,MATCH(C4,Lookup!$A$2:$A$5,0))</f>
        <v>Technology</v>
      </c>
      <c r="H4" s="4">
        <f t="shared" si="0"/>
        <v>1</v>
      </c>
    </row>
    <row r="5" spans="1:11" x14ac:dyDescent="0.35">
      <c r="A5" s="4">
        <v>4</v>
      </c>
      <c r="B5" s="4" t="s">
        <v>7</v>
      </c>
      <c r="C5" s="4" t="s">
        <v>14</v>
      </c>
      <c r="D5" s="4" t="s">
        <v>15</v>
      </c>
      <c r="E5" s="4">
        <v>38</v>
      </c>
      <c r="F5" s="4">
        <v>60</v>
      </c>
      <c r="G5" s="4" t="str">
        <f>INDEX(Lookup!$C$2:$C$5,MATCH(C5,Lookup!$A$2:$A$5,0))</f>
        <v>Technology</v>
      </c>
      <c r="H5" s="4">
        <f t="shared" si="0"/>
        <v>0</v>
      </c>
      <c r="J5" s="5" t="s">
        <v>30</v>
      </c>
    </row>
    <row r="6" spans="1:11" x14ac:dyDescent="0.35">
      <c r="A6" s="4">
        <v>5</v>
      </c>
      <c r="B6" s="4" t="s">
        <v>16</v>
      </c>
      <c r="C6" s="4" t="s">
        <v>8</v>
      </c>
      <c r="D6" s="4" t="s">
        <v>12</v>
      </c>
      <c r="E6" s="4">
        <v>80</v>
      </c>
      <c r="F6" s="4">
        <v>95</v>
      </c>
      <c r="G6" s="4" t="str">
        <f>INDEX(Lookup!$C$2:$C$5,MATCH(C6,Lookup!$A$2:$A$5,0))</f>
        <v>Business</v>
      </c>
      <c r="H6" s="4">
        <f t="shared" si="0"/>
        <v>1</v>
      </c>
    </row>
    <row r="7" spans="1:11" x14ac:dyDescent="0.35">
      <c r="A7" s="4">
        <v>6</v>
      </c>
      <c r="B7" s="4" t="s">
        <v>16</v>
      </c>
      <c r="C7" s="4" t="s">
        <v>11</v>
      </c>
      <c r="D7" s="4" t="s">
        <v>15</v>
      </c>
      <c r="E7" s="4">
        <v>55</v>
      </c>
      <c r="F7" s="4">
        <v>80</v>
      </c>
      <c r="G7" s="4" t="str">
        <f>INDEX(Lookup!$C$2:$C$5,MATCH(C7,Lookup!$A$2:$A$5,0))</f>
        <v>Business</v>
      </c>
      <c r="H7" s="4">
        <f t="shared" si="0"/>
        <v>1</v>
      </c>
    </row>
    <row r="8" spans="1:11" x14ac:dyDescent="0.35">
      <c r="A8" s="4">
        <v>7</v>
      </c>
      <c r="B8" s="4" t="s">
        <v>16</v>
      </c>
      <c r="C8" s="4" t="s">
        <v>13</v>
      </c>
      <c r="D8" s="4" t="s">
        <v>9</v>
      </c>
      <c r="E8" s="4">
        <v>48</v>
      </c>
      <c r="F8" s="4">
        <v>75</v>
      </c>
      <c r="G8" s="4" t="str">
        <f>INDEX(Lookup!$C$2:$C$5,MATCH(C8,Lookup!$A$2:$A$5,0))</f>
        <v>Technology</v>
      </c>
      <c r="H8" s="4">
        <f t="shared" si="0"/>
        <v>0</v>
      </c>
    </row>
    <row r="9" spans="1:11" x14ac:dyDescent="0.35">
      <c r="A9" s="4">
        <v>8</v>
      </c>
      <c r="B9" s="4" t="s">
        <v>16</v>
      </c>
      <c r="C9" s="4" t="s">
        <v>14</v>
      </c>
      <c r="D9" s="4" t="s">
        <v>12</v>
      </c>
      <c r="E9" s="4">
        <v>68</v>
      </c>
      <c r="F9" s="4">
        <v>88</v>
      </c>
      <c r="G9" s="4" t="str">
        <f>INDEX(Lookup!$C$2:$C$5,MATCH(C9,Lookup!$A$2:$A$5,0))</f>
        <v>Technology</v>
      </c>
      <c r="H9" s="4">
        <f t="shared" si="0"/>
        <v>1</v>
      </c>
    </row>
    <row r="10" spans="1:11" x14ac:dyDescent="0.35">
      <c r="A10" s="4">
        <v>9</v>
      </c>
      <c r="B10" s="4" t="s">
        <v>17</v>
      </c>
      <c r="C10" s="4" t="s">
        <v>8</v>
      </c>
      <c r="D10" s="4" t="s">
        <v>15</v>
      </c>
      <c r="E10" s="4">
        <v>90</v>
      </c>
      <c r="F10" s="4">
        <v>98</v>
      </c>
      <c r="G10" s="4" t="str">
        <f>INDEX(Lookup!$C$2:$C$5,MATCH(C10,Lookup!$A$2:$A$5,0))</f>
        <v>Business</v>
      </c>
      <c r="H10" s="4">
        <f t="shared" si="0"/>
        <v>1</v>
      </c>
    </row>
    <row r="11" spans="1:11" x14ac:dyDescent="0.35">
      <c r="A11" s="4">
        <v>10</v>
      </c>
      <c r="B11" s="4" t="s">
        <v>17</v>
      </c>
      <c r="C11" s="4" t="s">
        <v>11</v>
      </c>
      <c r="D11" s="4" t="s">
        <v>9</v>
      </c>
      <c r="E11" s="4">
        <v>60</v>
      </c>
      <c r="F11" s="4">
        <v>82</v>
      </c>
      <c r="G11" s="4" t="str">
        <f>INDEX(Lookup!$C$2:$C$5,MATCH(C11,Lookup!$A$2:$A$5,0))</f>
        <v>Business</v>
      </c>
      <c r="H11" s="4">
        <f t="shared" si="0"/>
        <v>1</v>
      </c>
    </row>
    <row r="12" spans="1:11" x14ac:dyDescent="0.35">
      <c r="A12" s="4">
        <v>11</v>
      </c>
      <c r="B12" s="4" t="s">
        <v>17</v>
      </c>
      <c r="C12" s="4" t="s">
        <v>13</v>
      </c>
      <c r="D12" s="4" t="s">
        <v>12</v>
      </c>
      <c r="E12" s="4">
        <v>75</v>
      </c>
      <c r="F12" s="4">
        <v>92</v>
      </c>
      <c r="G12" s="4" t="str">
        <f>INDEX(Lookup!$C$2:$C$5,MATCH(C12,Lookup!$A$2:$A$5,0))</f>
        <v>Technology</v>
      </c>
      <c r="H12" s="4">
        <f t="shared" si="0"/>
        <v>1</v>
      </c>
    </row>
    <row r="13" spans="1:11" x14ac:dyDescent="0.35">
      <c r="A13" s="4">
        <v>12</v>
      </c>
      <c r="B13" s="4" t="s">
        <v>17</v>
      </c>
      <c r="C13" s="4" t="s">
        <v>14</v>
      </c>
      <c r="D13" s="4" t="s">
        <v>15</v>
      </c>
      <c r="E13" s="4">
        <v>42</v>
      </c>
      <c r="F13" s="4">
        <v>65</v>
      </c>
      <c r="G13" s="4" t="str">
        <f>INDEX(Lookup!$C$2:$C$5,MATCH(C13,Lookup!$A$2:$A$5,0))</f>
        <v>Technology</v>
      </c>
      <c r="H13" s="4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/>
  </sheetViews>
  <sheetFormatPr defaultColWidth="8.6328125" defaultRowHeight="14.5" x14ac:dyDescent="0.35"/>
  <cols>
    <col min="1" max="1" width="34" customWidth="1"/>
    <col min="2" max="2" width="22" customWidth="1"/>
    <col min="3" max="3" width="10" customWidth="1"/>
    <col min="4" max="4" width="18" customWidth="1"/>
    <col min="5" max="5" width="13" customWidth="1"/>
  </cols>
  <sheetData>
    <row r="1" spans="1:5" ht="18" x14ac:dyDescent="0.4">
      <c r="A1" s="6" t="s">
        <v>31</v>
      </c>
    </row>
    <row r="3" spans="1:5" x14ac:dyDescent="0.35">
      <c r="A3" s="2" t="s">
        <v>32</v>
      </c>
    </row>
    <row r="4" spans="1:5" x14ac:dyDescent="0.35">
      <c r="A4" s="1" t="s">
        <v>3</v>
      </c>
      <c r="B4" s="1" t="s">
        <v>33</v>
      </c>
      <c r="D4" s="2" t="s">
        <v>34</v>
      </c>
      <c r="E4" s="7">
        <f>B8/COUNTA(Clean!A2:A13)</f>
        <v>0.66666666666666663</v>
      </c>
    </row>
    <row r="5" spans="1:5" x14ac:dyDescent="0.35">
      <c r="A5" s="4" t="s">
        <v>9</v>
      </c>
      <c r="B5" s="4">
        <f>COUNTIFS(Clean!$D$2:$D$13,A5,Clean!$H$2:$H$13,1)</f>
        <v>3</v>
      </c>
    </row>
    <row r="6" spans="1:5" x14ac:dyDescent="0.35">
      <c r="A6" s="4" t="s">
        <v>12</v>
      </c>
      <c r="B6" s="4">
        <f>COUNTIFS(Clean!$D$2:$D$13,A6,Clean!$H$2:$H$13,1)</f>
        <v>3</v>
      </c>
    </row>
    <row r="7" spans="1:5" x14ac:dyDescent="0.35">
      <c r="A7" s="4" t="s">
        <v>15</v>
      </c>
      <c r="B7" s="4">
        <f>COUNTIFS(Clean!$D$2:$D$13,A7,Clean!$H$2:$H$13,1)</f>
        <v>2</v>
      </c>
    </row>
    <row r="8" spans="1:5" x14ac:dyDescent="0.35">
      <c r="A8" s="8" t="s">
        <v>35</v>
      </c>
      <c r="B8" s="8">
        <f>SUM(B5:B7)</f>
        <v>8</v>
      </c>
    </row>
    <row r="11" spans="1:5" x14ac:dyDescent="0.35">
      <c r="A11" s="2" t="s">
        <v>36</v>
      </c>
    </row>
    <row r="12" spans="1:5" x14ac:dyDescent="0.35">
      <c r="A12" s="1" t="s">
        <v>19</v>
      </c>
      <c r="B12" s="1" t="s">
        <v>7</v>
      </c>
      <c r="C12" s="1" t="s">
        <v>16</v>
      </c>
      <c r="D12" s="1" t="s">
        <v>17</v>
      </c>
      <c r="E12" s="1" t="s">
        <v>37</v>
      </c>
    </row>
    <row r="13" spans="1:5" x14ac:dyDescent="0.35">
      <c r="A13" s="4" t="s">
        <v>21</v>
      </c>
      <c r="B13" s="9">
        <f>AVERAGEIFS(Clean!$E$2:$E$13,Clean!$G$2:$G$13,$A13,Clean!$B$2:$B$13,B$12)</f>
        <v>58.5</v>
      </c>
      <c r="C13" s="9">
        <f>AVERAGEIFS(Clean!$E$2:$E$13,Clean!$G$2:$G$13,$A13,Clean!$B$2:$B$13,C$12)</f>
        <v>67.5</v>
      </c>
      <c r="D13" s="9">
        <f>AVERAGEIFS(Clean!$E$2:$E$13,Clean!$G$2:$G$13,$A13,Clean!$B$2:$B$13,D$12)</f>
        <v>75</v>
      </c>
      <c r="E13" s="9">
        <f>AVERAGEIFS(Clean!$E$2:$E$13,Clean!$G$2:$G$13,$A13)</f>
        <v>67</v>
      </c>
    </row>
    <row r="14" spans="1:5" x14ac:dyDescent="0.35">
      <c r="A14" s="4" t="s">
        <v>24</v>
      </c>
      <c r="B14" s="9">
        <f>AVERAGEIFS(Clean!$E$2:$E$13,Clean!$G$2:$G$13,$A14,Clean!$B$2:$B$13,B$12)</f>
        <v>51.5</v>
      </c>
      <c r="C14" s="9">
        <f>AVERAGEIFS(Clean!$E$2:$E$13,Clean!$G$2:$G$13,$A14,Clean!$B$2:$B$13,C$12)</f>
        <v>58</v>
      </c>
      <c r="D14" s="9">
        <f>AVERAGEIFS(Clean!$E$2:$E$13,Clean!$G$2:$G$13,$A14,Clean!$B$2:$B$13,D$12)</f>
        <v>58.5</v>
      </c>
      <c r="E14" s="9">
        <f>AVERAGEIFS(Clean!$E$2:$E$13,Clean!$G$2:$G$13,$A14)</f>
        <v>56</v>
      </c>
    </row>
    <row r="15" spans="1:5" x14ac:dyDescent="0.35">
      <c r="A15" s="8" t="s">
        <v>37</v>
      </c>
      <c r="B15" s="10">
        <f>AVERAGEIFS(Clean!$E$2:$E$13,Clean!$B$2:$B$13,B$12)</f>
        <v>55</v>
      </c>
      <c r="C15" s="10">
        <f>AVERAGEIFS(Clean!$E$2:$E$13,Clean!$B$2:$B$13,C$12)</f>
        <v>62.75</v>
      </c>
      <c r="D15" s="10">
        <f>AVERAGEIFS(Clean!$E$2:$E$13,Clean!$B$2:$B$13,D$12)</f>
        <v>66.75</v>
      </c>
      <c r="E15" s="10">
        <f>AVERAGE(Clean!$E$2:$E$13)</f>
        <v>61.5</v>
      </c>
    </row>
    <row r="17" spans="1:1" x14ac:dyDescent="0.35">
      <c r="A17" s="5" t="s">
        <v>38</v>
      </c>
    </row>
    <row r="18" spans="1:1" x14ac:dyDescent="0.35">
      <c r="A18" s="11" t="s">
        <v>39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2026-09-24T11:13:52Z</dcterms:created>
  <dcterms:modified xsi:type="dcterms:W3CDTF">2026-09-26T05:01:11Z</dcterms:modified>
  <dc:language>en-US</dc:language>
</cp:coreProperties>
</file>